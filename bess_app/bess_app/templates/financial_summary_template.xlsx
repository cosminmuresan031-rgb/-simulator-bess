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ea Moldovan\Downloads\"/>
    </mc:Choice>
  </mc:AlternateContent>
  <xr:revisionPtr revIDLastSave="0" documentId="13_ncr:1_{43080444-0A96-4CF7-9A83-1BB60B19AB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inteza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27" i="2" s="1"/>
  <c r="E29" i="2" s="1"/>
  <c r="E33" i="2" s="1"/>
</calcChain>
</file>

<file path=xl/sharedStrings.xml><?xml version="1.0" encoding="utf-8"?>
<sst xmlns="http://schemas.openxmlformats.org/spreadsheetml/2006/main" count="100" uniqueCount="59">
  <si>
    <t>Scenariu BESS analizat</t>
  </si>
  <si>
    <t>Luna</t>
  </si>
  <si>
    <t>Indicator financiar</t>
  </si>
  <si>
    <t>Rezultat</t>
  </si>
  <si>
    <t>Capacitatea bateriei folosită în simulare.</t>
  </si>
  <si>
    <t>Consum total analizat [MWh]</t>
  </si>
  <si>
    <t>Volumul anual pe care se aplică optimizarea.</t>
  </si>
  <si>
    <t>Consum zi / noapte [%]</t>
  </si>
  <si>
    <t>Structura consumului explică potențialul de arbitraj orar.</t>
  </si>
  <si>
    <t>Preț contractual furnizare 2025</t>
  </si>
  <si>
    <t>Preț furnizare 2025</t>
  </si>
  <si>
    <t>Fără BESS</t>
  </si>
  <si>
    <t>Cu BESS</t>
  </si>
  <si>
    <t>Reducere BESS vs fără BESS</t>
  </si>
  <si>
    <t>Ian</t>
  </si>
  <si>
    <t>Impact moderat; peste preț contract</t>
  </si>
  <si>
    <t>Feb</t>
  </si>
  <si>
    <t>Mar</t>
  </si>
  <si>
    <t>Impact bun</t>
  </si>
  <si>
    <t>Apr</t>
  </si>
  <si>
    <t>Mai</t>
  </si>
  <si>
    <t>Iun</t>
  </si>
  <si>
    <t>Impact ridicat</t>
  </si>
  <si>
    <t>Iul</t>
  </si>
  <si>
    <t>Aug</t>
  </si>
  <si>
    <t>Sep</t>
  </si>
  <si>
    <t>Oct</t>
  </si>
  <si>
    <t>Nov</t>
  </si>
  <si>
    <t>Impact moderat</t>
  </si>
  <si>
    <t>Dec</t>
  </si>
  <si>
    <t>Sinteză anuală</t>
  </si>
  <si>
    <t>Contract</t>
  </si>
  <si>
    <t>Reducere</t>
  </si>
  <si>
    <t>Diferență vs contract</t>
  </si>
  <si>
    <t>Comentariu</t>
  </si>
  <si>
    <t>Medie lunară rezultate</t>
  </si>
  <si>
    <t>Medii simple ale celor 12 luni din simulare</t>
  </si>
  <si>
    <t>Impact indicativ [lei/an]</t>
  </si>
  <si>
    <t>Tabel – comparație lunară cost energie [lei/MWh]</t>
  </si>
  <si>
    <t xml:space="preserve">Observație </t>
  </si>
  <si>
    <t xml:space="preserve">Consum total × reducere medie lunară; </t>
  </si>
  <si>
    <t>Impact indicativ [euro/an]</t>
  </si>
  <si>
    <t>Valoare investitie [euro]</t>
  </si>
  <si>
    <t>Termen de recuperare investitie ani</t>
  </si>
  <si>
    <t>3. Impactul anual indicativ, aplicând reducerea medie lunară pe consumul analizat, este de aproximativ 356,895 lei/an.</t>
  </si>
  <si>
    <t>Interpretare</t>
  </si>
  <si>
    <t xml:space="preserve">lei/MWh – nivelul de comparație comercială </t>
  </si>
  <si>
    <t>Preț mediu ponderat cu BESS</t>
  </si>
  <si>
    <t>lei/MWh – reperul de cost cu stocare</t>
  </si>
  <si>
    <t xml:space="preserve">Fără BESS contract PZU </t>
  </si>
  <si>
    <t>Cu BESS + contract PZU</t>
  </si>
  <si>
    <t>Reducere cu BESS + contract PZU  vs fără BESS + contract PZU</t>
  </si>
  <si>
    <t>Diferență cu BESS vs Pret furnizare 2025</t>
  </si>
  <si>
    <r>
      <t xml:space="preserve">Sinteză financiară  - Client </t>
    </r>
    <r>
      <rPr>
        <b/>
        <sz val="14"/>
        <color rgb="FFFFFF00"/>
        <rFont val="Calibri"/>
        <family val="2"/>
      </rPr>
      <t>xxxxxxxx</t>
    </r>
    <r>
      <rPr>
        <b/>
        <sz val="14"/>
        <color rgb="FF1F4E78"/>
        <rFont val="Calibri"/>
      </rPr>
      <t xml:space="preserve">| capacitate baterie </t>
    </r>
    <r>
      <rPr>
        <b/>
        <sz val="14"/>
        <color rgb="FFFFFF00"/>
        <rFont val="Calibri"/>
        <family val="2"/>
      </rPr>
      <t>XXXXX</t>
    </r>
    <r>
      <rPr>
        <b/>
        <sz val="14"/>
        <color rgb="FF1F4E78"/>
        <rFont val="Calibri"/>
      </rPr>
      <t xml:space="preserve">  AC kWh/MWh - stocare  </t>
    </r>
    <r>
      <rPr>
        <b/>
        <sz val="14"/>
        <color rgb="FFFFFF00"/>
        <rFont val="Calibri"/>
        <family val="2"/>
      </rPr>
      <t xml:space="preserve"> XXXXXX</t>
    </r>
    <r>
      <rPr>
        <b/>
        <sz val="14"/>
        <color rgb="FF1F4E78"/>
        <rFont val="Calibri"/>
      </rPr>
      <t xml:space="preserve"> kWh/MWh</t>
    </r>
  </si>
  <si>
    <t>adus din dashboard</t>
  </si>
  <si>
    <t xml:space="preserve">primul pas in partea superioara </t>
  </si>
  <si>
    <t xml:space="preserve">editabil ca si referinta - tot in primul pas </t>
  </si>
  <si>
    <t>2. Scenariul cu BESS rămâne sub prețul contractual de xxxx lei/MWh în majoritatea lunilor, cu excepția lunilor ianuarie și februarie, unde costul optimizat este peste reperul contractual.</t>
  </si>
  <si>
    <t>1. Simularea indică o reducere medie lunară de xxxxxxlei/MWh prin utilizarea bateriei, față de scenariul fara BESS si contract furnizare Engie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</si>
</sst>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</font>
    <font>
      <b/>
      <sz val="14"/>
      <color rgb="FF1F4E78"/>
      <name val="Calibri"/>
    </font>
    <font>
      <b/>
      <sz val="11"/>
      <color rgb="FF1F4E78"/>
      <name val="Calibri"/>
    </font>
    <font>
      <b/>
      <sz val="11"/>
      <color theme="1"/>
      <name val="Calibri"/>
    </font>
    <font>
      <b/>
      <sz val="12"/>
      <color rgb="FF1F4E78"/>
      <name val="Calibri"/>
    </font>
    <font>
      <sz val="11"/>
      <color rgb="FFFFFFFF"/>
      <name val="Calibri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</font>
    <font>
      <b/>
      <sz val="11"/>
      <color rgb="FF1F4E78"/>
      <name val="Calibri"/>
      <family val="2"/>
      <charset val="238"/>
    </font>
    <font>
      <sz val="11"/>
      <color theme="1"/>
      <name val="Calibri"/>
      <family val="2"/>
    </font>
    <font>
      <b/>
      <sz val="14"/>
      <color rgb="FFFFFF00"/>
      <name val="Calibri"/>
      <family val="2"/>
    </font>
    <font>
      <b/>
      <sz val="14"/>
      <color rgb="FF1F4E78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8" fillId="0" borderId="20"/>
  </cellStyleXfs>
  <cellXfs count="38"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/>
    <xf numFmtId="0" fontId="0" fillId="0" borderId="16" xfId="0" applyBorder="1"/>
    <xf numFmtId="0" fontId="3" fillId="2" borderId="17" xfId="0" applyFont="1" applyFill="1" applyBorder="1"/>
    <xf numFmtId="0" fontId="0" fillId="0" borderId="19" xfId="0" applyBorder="1"/>
    <xf numFmtId="4" fontId="0" fillId="3" borderId="15" xfId="0" applyNumberFormat="1" applyFill="1" applyBorder="1"/>
    <xf numFmtId="4" fontId="0" fillId="3" borderId="18" xfId="0" applyNumberFormat="1" applyFill="1" applyBorder="1"/>
    <xf numFmtId="0" fontId="5" fillId="0" borderId="0" xfId="0" applyFont="1" applyBorder="1"/>
    <xf numFmtId="2" fontId="3" fillId="2" borderId="17" xfId="0" applyNumberFormat="1" applyFont="1" applyFill="1" applyBorder="1"/>
    <xf numFmtId="0" fontId="7" fillId="2" borderId="17" xfId="0" applyFont="1" applyFill="1" applyBorder="1"/>
    <xf numFmtId="4" fontId="7" fillId="3" borderId="18" xfId="0" applyNumberFormat="1" applyFont="1" applyFill="1" applyBorder="1"/>
    <xf numFmtId="0" fontId="7" fillId="0" borderId="19" xfId="0" applyFont="1" applyBorder="1"/>
    <xf numFmtId="0" fontId="7" fillId="0" borderId="0" xfId="0" applyFont="1" applyBorder="1"/>
    <xf numFmtId="0" fontId="7" fillId="2" borderId="14" xfId="0" applyFont="1" applyFill="1" applyBorder="1"/>
    <xf numFmtId="4" fontId="7" fillId="3" borderId="15" xfId="0" applyNumberFormat="1" applyFont="1" applyFill="1" applyBorder="1"/>
    <xf numFmtId="0" fontId="7" fillId="0" borderId="16" xfId="0" applyFont="1" applyBorder="1"/>
    <xf numFmtId="164" fontId="9" fillId="2" borderId="17" xfId="0" applyNumberFormat="1" applyFont="1" applyFill="1" applyBorder="1"/>
    <xf numFmtId="0" fontId="10" fillId="2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horizontal="center" vertical="center" wrapText="1"/>
    </xf>
    <xf numFmtId="0" fontId="0" fillId="0" borderId="1" xfId="0"/>
    <xf numFmtId="0" fontId="6" fillId="4" borderId="8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0" fillId="0" borderId="0" xfId="0" applyBorder="1"/>
    <xf numFmtId="0" fontId="4" fillId="2" borderId="1" xfId="0" applyFont="1" applyFill="1" applyAlignment="1">
      <alignment horizontal="center"/>
    </xf>
    <xf numFmtId="0" fontId="6" fillId="4" borderId="9" xfId="0" applyFont="1" applyFill="1" applyBorder="1" applyAlignment="1">
      <alignment wrapText="1"/>
    </xf>
    <xf numFmtId="0" fontId="13" fillId="2" borderId="1" xfId="0" applyFont="1" applyFill="1" applyAlignment="1">
      <alignment horizontal="center" vertical="center"/>
    </xf>
    <xf numFmtId="0" fontId="11" fillId="3" borderId="6" xfId="0" applyFont="1" applyFill="1" applyBorder="1" applyAlignment="1">
      <alignment wrapText="1"/>
    </xf>
    <xf numFmtId="4" fontId="11" fillId="3" borderId="6" xfId="0" applyNumberFormat="1" applyFont="1" applyFill="1" applyBorder="1" applyAlignment="1">
      <alignment wrapText="1"/>
    </xf>
    <xf numFmtId="0" fontId="14" fillId="2" borderId="17" xfId="0" applyFont="1" applyFill="1" applyBorder="1"/>
  </cellXfs>
  <cellStyles count="2">
    <cellStyle name="Normal" xfId="0" builtinId="0"/>
    <cellStyle name="Normal 2" xfId="1" xr:uid="{42357CB2-0AB0-4AF9-BF39-D9786F79D5FE}"/>
  </cellStyles>
  <dxfs count="2">
    <dxf>
      <font>
        <b/>
        <color rgb="FF00B050"/>
      </font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CLIENT</a:t>
            </a:r>
            <a:r>
              <a:rPr lang="en-US" baseline="0"/>
              <a:t> xxxx ( GENERAREA AUTOMAT )</a:t>
            </a:r>
            <a:r>
              <a:rPr lang="en-US"/>
              <a:t>– contract vs fără BESS vs cu BESS [lei/MWh]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Contract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'Sinteza '!$I$43:$I$54</c:f>
              <c:strCache>
                <c:ptCount val="12"/>
                <c:pt idx="0">
                  <c:v>Ian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Iun</c:v>
                </c:pt>
                <c:pt idx="6">
                  <c:v>Iul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'Sinteza '!$J$43:$J$54</c:f>
              <c:numCache>
                <c:formatCode>General</c:formatCode>
                <c:ptCount val="12"/>
                <c:pt idx="0">
                  <c:v>596.91999999999996</c:v>
                </c:pt>
                <c:pt idx="1">
                  <c:v>596.91999999999996</c:v>
                </c:pt>
                <c:pt idx="2">
                  <c:v>596.91999999999996</c:v>
                </c:pt>
                <c:pt idx="3">
                  <c:v>596.91999999999996</c:v>
                </c:pt>
                <c:pt idx="4">
                  <c:v>596.91999999999996</c:v>
                </c:pt>
                <c:pt idx="5">
                  <c:v>596.91999999999996</c:v>
                </c:pt>
                <c:pt idx="6">
                  <c:v>596.91999999999996</c:v>
                </c:pt>
                <c:pt idx="7">
                  <c:v>596.91999999999996</c:v>
                </c:pt>
                <c:pt idx="8">
                  <c:v>596.91999999999996</c:v>
                </c:pt>
                <c:pt idx="9">
                  <c:v>596.91999999999996</c:v>
                </c:pt>
                <c:pt idx="10">
                  <c:v>596.91999999999996</c:v>
                </c:pt>
                <c:pt idx="11">
                  <c:v>596.91999999999996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D-437E-B679-B88FC17081A5}"/>
            </c:ext>
          </c:extLst>
        </c:ser>
        <c:ser>
          <c:idx val="1"/>
          <c:order val="1"/>
          <c:tx>
            <c:v>Fără BESS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'Sinteza '!$I$43:$I$54</c:f>
              <c:strCache>
                <c:ptCount val="12"/>
                <c:pt idx="0">
                  <c:v>Ian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Iun</c:v>
                </c:pt>
                <c:pt idx="6">
                  <c:v>Iul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'Sinteza '!$K$43:$K$54</c:f>
              <c:numCache>
                <c:formatCode>General</c:formatCode>
                <c:ptCount val="12"/>
                <c:pt idx="0">
                  <c:v>701.48154349257027</c:v>
                </c:pt>
                <c:pt idx="1">
                  <c:v>799.5921680551279</c:v>
                </c:pt>
                <c:pt idx="2">
                  <c:v>521.59365667588963</c:v>
                </c:pt>
                <c:pt idx="3">
                  <c:v>419.52509600779717</c:v>
                </c:pt>
                <c:pt idx="4">
                  <c:v>409.08426889528317</c:v>
                </c:pt>
                <c:pt idx="5">
                  <c:v>406.48504712131609</c:v>
                </c:pt>
                <c:pt idx="6">
                  <c:v>517.249937018276</c:v>
                </c:pt>
                <c:pt idx="7">
                  <c:v>378.26259566413017</c:v>
                </c:pt>
                <c:pt idx="8">
                  <c:v>484.06108973590852</c:v>
                </c:pt>
                <c:pt idx="9">
                  <c:v>626.48864861059462</c:v>
                </c:pt>
                <c:pt idx="10">
                  <c:v>631.69929523697397</c:v>
                </c:pt>
                <c:pt idx="11">
                  <c:v>605.73763467991535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D-437E-B679-B88FC17081A5}"/>
            </c:ext>
          </c:extLst>
        </c:ser>
        <c:ser>
          <c:idx val="2"/>
          <c:order val="2"/>
          <c:tx>
            <c:v>Cu BESS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'Sinteza '!$I$43:$I$54</c:f>
              <c:strCache>
                <c:ptCount val="12"/>
                <c:pt idx="0">
                  <c:v>Ian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Iun</c:v>
                </c:pt>
                <c:pt idx="6">
                  <c:v>Iul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'Sinteza '!$L$43:$L$54</c:f>
              <c:numCache>
                <c:formatCode>General</c:formatCode>
                <c:ptCount val="12"/>
                <c:pt idx="0">
                  <c:v>627.1081084367587</c:v>
                </c:pt>
                <c:pt idx="1">
                  <c:v>701.14442772612369</c:v>
                </c:pt>
                <c:pt idx="2">
                  <c:v>395.67268765922768</c:v>
                </c:pt>
                <c:pt idx="3">
                  <c:v>296.65494420949551</c:v>
                </c:pt>
                <c:pt idx="4">
                  <c:v>280.90054876914343</c:v>
                </c:pt>
                <c:pt idx="5">
                  <c:v>263.70652673843392</c:v>
                </c:pt>
                <c:pt idx="6">
                  <c:v>405.18014165232211</c:v>
                </c:pt>
                <c:pt idx="7">
                  <c:v>244.9648917224421</c:v>
                </c:pt>
                <c:pt idx="8">
                  <c:v>327.19250697912452</c:v>
                </c:pt>
                <c:pt idx="9">
                  <c:v>483.89076942244418</c:v>
                </c:pt>
                <c:pt idx="10">
                  <c:v>538.61395612310002</c:v>
                </c:pt>
                <c:pt idx="11">
                  <c:v>552.41397020970521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D-437E-B679-B88FC1708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tabSelected="1" workbookViewId="0">
      <selection activeCell="H24" sqref="H24"/>
    </sheetView>
  </sheetViews>
  <sheetFormatPr defaultRowHeight="14.5" x14ac:dyDescent="0.35"/>
  <cols>
    <col min="1" max="1" width="31.36328125" customWidth="1"/>
    <col min="2" max="2" width="18" customWidth="1"/>
    <col min="3" max="3" width="34.36328125" customWidth="1"/>
    <col min="4" max="4" width="17" customWidth="1"/>
    <col min="5" max="5" width="23" customWidth="1"/>
    <col min="6" max="6" width="25" customWidth="1"/>
    <col min="7" max="7" width="49.90625" customWidth="1"/>
    <col min="8" max="8" width="33.453125" customWidth="1"/>
    <col min="9" max="14" width="14" customWidth="1"/>
  </cols>
  <sheetData>
    <row r="1" spans="1:14" ht="28" customHeight="1" x14ac:dyDescent="0.35">
      <c r="A1" s="34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ht="24" customHeight="1" x14ac:dyDescent="0.35">
      <c r="A3" s="1" t="s">
        <v>2</v>
      </c>
      <c r="B3" s="2" t="s">
        <v>3</v>
      </c>
      <c r="C3" s="24" t="s">
        <v>45</v>
      </c>
      <c r="E3" s="32"/>
      <c r="F3" s="28"/>
      <c r="G3" s="28"/>
      <c r="H3" s="28"/>
      <c r="I3" s="28"/>
      <c r="J3" s="28"/>
      <c r="K3" s="28"/>
      <c r="L3" s="28"/>
      <c r="M3" s="28"/>
      <c r="N3" s="28"/>
    </row>
    <row r="4" spans="1:14" ht="42" customHeight="1" x14ac:dyDescent="0.35">
      <c r="A4" s="3" t="s">
        <v>0</v>
      </c>
      <c r="B4" s="35" t="s">
        <v>54</v>
      </c>
      <c r="C4" s="4" t="s">
        <v>4</v>
      </c>
      <c r="E4" s="29" t="s">
        <v>58</v>
      </c>
      <c r="F4" s="28"/>
      <c r="G4" s="28"/>
      <c r="H4" s="28"/>
      <c r="I4" s="28"/>
      <c r="J4" s="28"/>
      <c r="K4" s="28"/>
      <c r="L4" s="28"/>
      <c r="M4" s="28"/>
      <c r="N4" s="28"/>
    </row>
    <row r="5" spans="1:14" ht="42" customHeight="1" x14ac:dyDescent="0.35">
      <c r="A5" s="3" t="s">
        <v>5</v>
      </c>
      <c r="B5" s="35" t="s">
        <v>54</v>
      </c>
      <c r="C5" s="4" t="s">
        <v>6</v>
      </c>
    </row>
    <row r="6" spans="1:14" ht="42" customHeight="1" x14ac:dyDescent="0.35">
      <c r="A6" s="3" t="s">
        <v>7</v>
      </c>
      <c r="B6" s="35" t="s">
        <v>54</v>
      </c>
      <c r="C6" s="4" t="s">
        <v>8</v>
      </c>
      <c r="E6" s="33" t="s">
        <v>57</v>
      </c>
      <c r="F6" s="31"/>
      <c r="G6" s="31"/>
      <c r="H6" s="31"/>
      <c r="I6" s="31"/>
      <c r="J6" s="31"/>
      <c r="K6" s="31"/>
      <c r="L6" s="31"/>
      <c r="M6" s="31"/>
      <c r="N6" s="28"/>
    </row>
    <row r="7" spans="1:14" ht="42" customHeight="1" x14ac:dyDescent="0.35">
      <c r="A7" s="26" t="s">
        <v>47</v>
      </c>
      <c r="B7" s="35" t="s">
        <v>54</v>
      </c>
      <c r="C7" s="25" t="s">
        <v>48</v>
      </c>
      <c r="E7" s="30" t="s">
        <v>44</v>
      </c>
      <c r="F7" s="31"/>
      <c r="G7" s="31"/>
      <c r="H7" s="31"/>
      <c r="I7" s="31"/>
      <c r="J7" s="31"/>
      <c r="K7" s="31"/>
      <c r="L7" s="31"/>
      <c r="M7" s="31"/>
      <c r="N7" s="28"/>
    </row>
    <row r="8" spans="1:14" ht="38" customHeight="1" x14ac:dyDescent="0.35">
      <c r="A8" s="3" t="s">
        <v>9</v>
      </c>
      <c r="B8" s="36" t="s">
        <v>56</v>
      </c>
      <c r="C8" s="25" t="s">
        <v>46</v>
      </c>
    </row>
    <row r="10" spans="1:14" ht="24" customHeight="1" x14ac:dyDescent="0.35">
      <c r="A10" s="32" t="s">
        <v>38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ht="49.5" customHeight="1" x14ac:dyDescent="0.35">
      <c r="A11" s="5" t="s">
        <v>1</v>
      </c>
      <c r="B11" s="6" t="s">
        <v>10</v>
      </c>
      <c r="C11" s="27" t="s">
        <v>49</v>
      </c>
      <c r="D11" s="27" t="s">
        <v>50</v>
      </c>
      <c r="E11" s="27" t="s">
        <v>51</v>
      </c>
      <c r="F11" s="27" t="s">
        <v>52</v>
      </c>
      <c r="G11" s="7" t="s">
        <v>39</v>
      </c>
    </row>
    <row r="12" spans="1:14" ht="26" customHeight="1" x14ac:dyDescent="0.35">
      <c r="A12" s="8" t="s">
        <v>14</v>
      </c>
      <c r="B12" s="12">
        <v>596.91999999999996</v>
      </c>
      <c r="C12" s="12">
        <v>701.48154349257027</v>
      </c>
      <c r="D12" s="12">
        <v>627.1081084367587</v>
      </c>
      <c r="E12" s="12">
        <v>74.373435055811569</v>
      </c>
      <c r="F12" s="12">
        <v>-30.188108436758739</v>
      </c>
      <c r="G12" s="9" t="s">
        <v>15</v>
      </c>
    </row>
    <row r="13" spans="1:14" ht="26" customHeight="1" x14ac:dyDescent="0.35">
      <c r="A13" s="8" t="s">
        <v>16</v>
      </c>
      <c r="B13" s="12">
        <v>596.91999999999996</v>
      </c>
      <c r="C13" s="12">
        <v>799.5921680551279</v>
      </c>
      <c r="D13" s="12">
        <v>701.14442772612369</v>
      </c>
      <c r="E13" s="12">
        <v>98.447740329004205</v>
      </c>
      <c r="F13" s="12">
        <v>-104.22442772612369</v>
      </c>
      <c r="G13" s="9" t="s">
        <v>15</v>
      </c>
    </row>
    <row r="14" spans="1:14" ht="26" customHeight="1" x14ac:dyDescent="0.35">
      <c r="A14" s="8" t="s">
        <v>17</v>
      </c>
      <c r="B14" s="12">
        <v>596.91999999999996</v>
      </c>
      <c r="C14" s="12">
        <v>521.59365667588963</v>
      </c>
      <c r="D14" s="12">
        <v>395.67268765922768</v>
      </c>
      <c r="E14" s="12">
        <v>125.920969016662</v>
      </c>
      <c r="F14" s="12">
        <v>201.24731234077231</v>
      </c>
      <c r="G14" s="9" t="s">
        <v>18</v>
      </c>
    </row>
    <row r="15" spans="1:14" ht="26" customHeight="1" x14ac:dyDescent="0.35">
      <c r="A15" s="8" t="s">
        <v>19</v>
      </c>
      <c r="B15" s="12">
        <v>596.91999999999996</v>
      </c>
      <c r="C15" s="12">
        <v>419.52509600779717</v>
      </c>
      <c r="D15" s="12">
        <v>296.65494420949551</v>
      </c>
      <c r="E15" s="12">
        <v>122.87015179830171</v>
      </c>
      <c r="F15" s="12">
        <v>300.26505579050439</v>
      </c>
      <c r="G15" s="9" t="s">
        <v>18</v>
      </c>
    </row>
    <row r="16" spans="1:14" ht="26" customHeight="1" x14ac:dyDescent="0.35">
      <c r="A16" s="8" t="s">
        <v>20</v>
      </c>
      <c r="B16" s="12">
        <v>596.91999999999996</v>
      </c>
      <c r="C16" s="12">
        <v>409.08426889528317</v>
      </c>
      <c r="D16" s="12">
        <v>280.90054876914343</v>
      </c>
      <c r="E16" s="12">
        <v>128.1837201261398</v>
      </c>
      <c r="F16" s="12">
        <v>316.01945123085659</v>
      </c>
      <c r="G16" s="9" t="s">
        <v>18</v>
      </c>
    </row>
    <row r="17" spans="1:7" ht="26" customHeight="1" x14ac:dyDescent="0.35">
      <c r="A17" s="8" t="s">
        <v>21</v>
      </c>
      <c r="B17" s="12">
        <v>596.91999999999996</v>
      </c>
      <c r="C17" s="12">
        <v>406.48504712131609</v>
      </c>
      <c r="D17" s="12">
        <v>263.70652673843392</v>
      </c>
      <c r="E17" s="12">
        <v>142.77852038288219</v>
      </c>
      <c r="F17" s="12">
        <v>333.21347326156598</v>
      </c>
      <c r="G17" s="9" t="s">
        <v>22</v>
      </c>
    </row>
    <row r="18" spans="1:7" ht="26" customHeight="1" x14ac:dyDescent="0.35">
      <c r="A18" s="8" t="s">
        <v>23</v>
      </c>
      <c r="B18" s="12">
        <v>596.91999999999996</v>
      </c>
      <c r="C18" s="12">
        <v>517.249937018276</v>
      </c>
      <c r="D18" s="12">
        <v>405.18014165232211</v>
      </c>
      <c r="E18" s="12">
        <v>112.06979536595389</v>
      </c>
      <c r="F18" s="12">
        <v>191.73985834767791</v>
      </c>
      <c r="G18" s="9" t="s">
        <v>18</v>
      </c>
    </row>
    <row r="19" spans="1:7" ht="26" customHeight="1" x14ac:dyDescent="0.35">
      <c r="A19" s="8" t="s">
        <v>24</v>
      </c>
      <c r="B19" s="12">
        <v>596.91999999999996</v>
      </c>
      <c r="C19" s="12">
        <v>378.26259566413017</v>
      </c>
      <c r="D19" s="12">
        <v>244.9648917224421</v>
      </c>
      <c r="E19" s="12">
        <v>133.29770394168801</v>
      </c>
      <c r="F19" s="12">
        <v>351.95510827755783</v>
      </c>
      <c r="G19" s="9" t="s">
        <v>22</v>
      </c>
    </row>
    <row r="20" spans="1:7" ht="26" customHeight="1" x14ac:dyDescent="0.35">
      <c r="A20" s="8" t="s">
        <v>25</v>
      </c>
      <c r="B20" s="12">
        <v>596.91999999999996</v>
      </c>
      <c r="C20" s="12">
        <v>484.06108973590852</v>
      </c>
      <c r="D20" s="12">
        <v>327.19250697912452</v>
      </c>
      <c r="E20" s="12">
        <v>156.86858275678401</v>
      </c>
      <c r="F20" s="12">
        <v>269.72749302087539</v>
      </c>
      <c r="G20" s="9" t="s">
        <v>22</v>
      </c>
    </row>
    <row r="21" spans="1:7" ht="26" customHeight="1" x14ac:dyDescent="0.35">
      <c r="A21" s="8" t="s">
        <v>26</v>
      </c>
      <c r="B21" s="12">
        <v>596.91999999999996</v>
      </c>
      <c r="C21" s="12">
        <v>626.48864861059462</v>
      </c>
      <c r="D21" s="12">
        <v>483.89076942244418</v>
      </c>
      <c r="E21" s="12">
        <v>142.59787918815039</v>
      </c>
      <c r="F21" s="12">
        <v>113.02923057755579</v>
      </c>
      <c r="G21" s="9" t="s">
        <v>22</v>
      </c>
    </row>
    <row r="22" spans="1:7" ht="26" customHeight="1" x14ac:dyDescent="0.35">
      <c r="A22" s="8" t="s">
        <v>27</v>
      </c>
      <c r="B22" s="12">
        <v>596.91999999999996</v>
      </c>
      <c r="C22" s="12">
        <v>631.69929523697397</v>
      </c>
      <c r="D22" s="12">
        <v>538.61395612310002</v>
      </c>
      <c r="E22" s="12">
        <v>93.085339113873943</v>
      </c>
      <c r="F22" s="12">
        <v>58.306043876899928</v>
      </c>
      <c r="G22" s="9" t="s">
        <v>28</v>
      </c>
    </row>
    <row r="23" spans="1:7" ht="26" customHeight="1" x14ac:dyDescent="0.35">
      <c r="A23" s="10" t="s">
        <v>29</v>
      </c>
      <c r="B23" s="13">
        <v>596.91999999999996</v>
      </c>
      <c r="C23" s="13">
        <v>605.73763467991535</v>
      </c>
      <c r="D23" s="13">
        <v>552.41397020970521</v>
      </c>
      <c r="E23" s="13">
        <v>53.323664470210133</v>
      </c>
      <c r="F23" s="13">
        <v>44.506029790294747</v>
      </c>
      <c r="G23" s="11" t="s">
        <v>28</v>
      </c>
    </row>
    <row r="25" spans="1:7" ht="24" customHeight="1" x14ac:dyDescent="0.35">
      <c r="A25" s="5" t="s">
        <v>30</v>
      </c>
      <c r="B25" s="6" t="s">
        <v>31</v>
      </c>
      <c r="C25" s="6" t="s">
        <v>11</v>
      </c>
      <c r="D25" s="6" t="s">
        <v>12</v>
      </c>
      <c r="E25" s="6" t="s">
        <v>32</v>
      </c>
      <c r="F25" s="6" t="s">
        <v>33</v>
      </c>
      <c r="G25" s="7" t="s">
        <v>34</v>
      </c>
    </row>
    <row r="26" spans="1:7" s="19" customFormat="1" ht="36" customHeight="1" x14ac:dyDescent="0.35">
      <c r="A26" s="20" t="s">
        <v>35</v>
      </c>
      <c r="B26" s="21">
        <v>596.91999999999996</v>
      </c>
      <c r="C26" s="21">
        <v>541.77174843281523</v>
      </c>
      <c r="D26" s="21">
        <v>426.45362330402668</v>
      </c>
      <c r="E26" s="21">
        <f>B26-D26</f>
        <v>170.46637669597328</v>
      </c>
      <c r="F26" s="21">
        <v>170.4663766959732</v>
      </c>
      <c r="G26" s="22" t="s">
        <v>36</v>
      </c>
    </row>
    <row r="27" spans="1:7" s="19" customFormat="1" ht="36" customHeight="1" x14ac:dyDescent="0.35">
      <c r="A27" s="16" t="s">
        <v>37</v>
      </c>
      <c r="B27" s="17"/>
      <c r="C27" s="17"/>
      <c r="D27" s="17"/>
      <c r="E27" s="17" t="e">
        <f>E26*B5</f>
        <v>#VALUE!</v>
      </c>
      <c r="F27" s="17"/>
      <c r="G27" s="18" t="s">
        <v>40</v>
      </c>
    </row>
    <row r="28" spans="1:7" x14ac:dyDescent="0.35">
      <c r="A28" s="10"/>
      <c r="B28" s="10"/>
      <c r="C28" s="10"/>
      <c r="D28" s="10"/>
      <c r="E28" s="10"/>
      <c r="F28" s="10"/>
    </row>
    <row r="29" spans="1:7" x14ac:dyDescent="0.35">
      <c r="A29" s="10" t="s">
        <v>41</v>
      </c>
      <c r="B29" s="10"/>
      <c r="C29" s="10"/>
      <c r="D29" s="10"/>
      <c r="E29" s="15" t="e">
        <f>E27/5.1</f>
        <v>#VALUE!</v>
      </c>
      <c r="F29" s="10"/>
    </row>
    <row r="30" spans="1:7" x14ac:dyDescent="0.35">
      <c r="A30" s="10"/>
      <c r="B30" s="10"/>
      <c r="C30" s="10"/>
      <c r="D30" s="10"/>
      <c r="E30" s="10"/>
      <c r="F30" s="10"/>
    </row>
    <row r="31" spans="1:7" x14ac:dyDescent="0.35">
      <c r="A31" s="10" t="s">
        <v>42</v>
      </c>
      <c r="B31" s="10"/>
      <c r="C31" s="10"/>
      <c r="D31" s="10"/>
      <c r="E31" s="37" t="s">
        <v>55</v>
      </c>
      <c r="F31" s="10"/>
    </row>
    <row r="32" spans="1:7" x14ac:dyDescent="0.35">
      <c r="A32" s="10"/>
      <c r="B32" s="10"/>
      <c r="C32" s="10"/>
      <c r="D32" s="10"/>
      <c r="E32" s="10"/>
      <c r="F32" s="10"/>
    </row>
    <row r="33" spans="1:13" x14ac:dyDescent="0.35">
      <c r="A33" s="10" t="s">
        <v>43</v>
      </c>
      <c r="B33" s="10"/>
      <c r="C33" s="10"/>
      <c r="D33" s="10"/>
      <c r="E33" s="23" t="e">
        <f>E31/E29</f>
        <v>#VALUE!</v>
      </c>
      <c r="F33" s="10"/>
    </row>
    <row r="42" spans="1:13" x14ac:dyDescent="0.35">
      <c r="I42" s="14" t="s">
        <v>1</v>
      </c>
      <c r="J42" s="14" t="s">
        <v>31</v>
      </c>
      <c r="K42" s="14" t="s">
        <v>11</v>
      </c>
      <c r="L42" s="14" t="s">
        <v>12</v>
      </c>
      <c r="M42" s="14" t="s">
        <v>32</v>
      </c>
    </row>
    <row r="43" spans="1:13" x14ac:dyDescent="0.35">
      <c r="I43" s="14" t="s">
        <v>14</v>
      </c>
      <c r="J43" s="14">
        <v>596.91999999999996</v>
      </c>
      <c r="K43" s="14">
        <v>701.48154349257027</v>
      </c>
      <c r="L43" s="14">
        <v>627.1081084367587</v>
      </c>
      <c r="M43" s="14">
        <v>74.373435055811569</v>
      </c>
    </row>
    <row r="44" spans="1:13" x14ac:dyDescent="0.35">
      <c r="I44" s="14" t="s">
        <v>16</v>
      </c>
      <c r="J44" s="14">
        <v>596.91999999999996</v>
      </c>
      <c r="K44" s="14">
        <v>799.5921680551279</v>
      </c>
      <c r="L44" s="14">
        <v>701.14442772612369</v>
      </c>
      <c r="M44" s="14">
        <v>98.447740329004205</v>
      </c>
    </row>
    <row r="45" spans="1:13" x14ac:dyDescent="0.35">
      <c r="I45" s="14" t="s">
        <v>17</v>
      </c>
      <c r="J45" s="14">
        <v>596.91999999999996</v>
      </c>
      <c r="K45" s="14">
        <v>521.59365667588963</v>
      </c>
      <c r="L45" s="14">
        <v>395.67268765922768</v>
      </c>
      <c r="M45" s="14">
        <v>125.920969016662</v>
      </c>
    </row>
    <row r="46" spans="1:13" x14ac:dyDescent="0.35">
      <c r="I46" s="14" t="s">
        <v>19</v>
      </c>
      <c r="J46" s="14">
        <v>596.91999999999996</v>
      </c>
      <c r="K46" s="14">
        <v>419.52509600779717</v>
      </c>
      <c r="L46" s="14">
        <v>296.65494420949551</v>
      </c>
      <c r="M46" s="14">
        <v>122.87015179830171</v>
      </c>
    </row>
    <row r="47" spans="1:13" x14ac:dyDescent="0.35">
      <c r="I47" s="14" t="s">
        <v>20</v>
      </c>
      <c r="J47" s="14">
        <v>596.91999999999996</v>
      </c>
      <c r="K47" s="14">
        <v>409.08426889528317</v>
      </c>
      <c r="L47" s="14">
        <v>280.90054876914343</v>
      </c>
      <c r="M47" s="14">
        <v>128.1837201261398</v>
      </c>
    </row>
    <row r="48" spans="1:13" x14ac:dyDescent="0.35">
      <c r="I48" s="14" t="s">
        <v>21</v>
      </c>
      <c r="J48" s="14">
        <v>596.91999999999996</v>
      </c>
      <c r="K48" s="14">
        <v>406.48504712131609</v>
      </c>
      <c r="L48" s="14">
        <v>263.70652673843392</v>
      </c>
      <c r="M48" s="14">
        <v>142.77852038288219</v>
      </c>
    </row>
    <row r="49" spans="9:13" x14ac:dyDescent="0.35">
      <c r="I49" s="14" t="s">
        <v>23</v>
      </c>
      <c r="J49" s="14">
        <v>596.91999999999996</v>
      </c>
      <c r="K49" s="14">
        <v>517.249937018276</v>
      </c>
      <c r="L49" s="14">
        <v>405.18014165232211</v>
      </c>
      <c r="M49" s="14">
        <v>112.06979536595389</v>
      </c>
    </row>
    <row r="50" spans="9:13" x14ac:dyDescent="0.35">
      <c r="I50" s="14" t="s">
        <v>24</v>
      </c>
      <c r="J50" s="14">
        <v>596.91999999999996</v>
      </c>
      <c r="K50" s="14">
        <v>378.26259566413017</v>
      </c>
      <c r="L50" s="14">
        <v>244.9648917224421</v>
      </c>
      <c r="M50" s="14">
        <v>133.29770394168801</v>
      </c>
    </row>
    <row r="51" spans="9:13" x14ac:dyDescent="0.35">
      <c r="I51" s="14" t="s">
        <v>25</v>
      </c>
      <c r="J51" s="14">
        <v>596.91999999999996</v>
      </c>
      <c r="K51" s="14">
        <v>484.06108973590852</v>
      </c>
      <c r="L51" s="14">
        <v>327.19250697912452</v>
      </c>
      <c r="M51" s="14">
        <v>156.86858275678401</v>
      </c>
    </row>
    <row r="52" spans="9:13" x14ac:dyDescent="0.35">
      <c r="I52" s="14" t="s">
        <v>26</v>
      </c>
      <c r="J52" s="14">
        <v>596.91999999999996</v>
      </c>
      <c r="K52" s="14">
        <v>626.48864861059462</v>
      </c>
      <c r="L52" s="14">
        <v>483.89076942244418</v>
      </c>
      <c r="M52" s="14">
        <v>142.59787918815039</v>
      </c>
    </row>
    <row r="53" spans="9:13" x14ac:dyDescent="0.35">
      <c r="I53" s="14" t="s">
        <v>27</v>
      </c>
      <c r="J53" s="14">
        <v>596.91999999999996</v>
      </c>
      <c r="K53" s="14">
        <v>631.69929523697397</v>
      </c>
      <c r="L53" s="14">
        <v>538.61395612310002</v>
      </c>
      <c r="M53" s="14">
        <v>93.085339113873943</v>
      </c>
    </row>
    <row r="54" spans="9:13" x14ac:dyDescent="0.35">
      <c r="I54" s="14" t="s">
        <v>29</v>
      </c>
      <c r="J54" s="14">
        <v>596.91999999999996</v>
      </c>
      <c r="K54" s="14">
        <v>605.73763467991535</v>
      </c>
      <c r="L54" s="14">
        <v>552.41397020970521</v>
      </c>
      <c r="M54" s="14">
        <v>53.323664470210133</v>
      </c>
    </row>
    <row r="56" spans="9:13" x14ac:dyDescent="0.35">
      <c r="I56" s="14" t="s">
        <v>1</v>
      </c>
      <c r="J56" s="14" t="s">
        <v>13</v>
      </c>
    </row>
    <row r="57" spans="9:13" x14ac:dyDescent="0.35">
      <c r="I57" s="14" t="s">
        <v>14</v>
      </c>
      <c r="J57" s="14">
        <v>74.373435055811569</v>
      </c>
    </row>
    <row r="58" spans="9:13" x14ac:dyDescent="0.35">
      <c r="I58" s="14" t="s">
        <v>16</v>
      </c>
      <c r="J58" s="14">
        <v>98.447740329004205</v>
      </c>
    </row>
    <row r="59" spans="9:13" x14ac:dyDescent="0.35">
      <c r="I59" s="14" t="s">
        <v>17</v>
      </c>
      <c r="J59" s="14">
        <v>125.920969016662</v>
      </c>
    </row>
    <row r="60" spans="9:13" x14ac:dyDescent="0.35">
      <c r="I60" s="14" t="s">
        <v>19</v>
      </c>
      <c r="J60" s="14">
        <v>122.87015179830171</v>
      </c>
    </row>
    <row r="61" spans="9:13" x14ac:dyDescent="0.35">
      <c r="I61" s="14" t="s">
        <v>20</v>
      </c>
      <c r="J61" s="14">
        <v>128.1837201261398</v>
      </c>
    </row>
    <row r="62" spans="9:13" x14ac:dyDescent="0.35">
      <c r="I62" s="14" t="s">
        <v>21</v>
      </c>
      <c r="J62" s="14">
        <v>142.77852038288219</v>
      </c>
    </row>
    <row r="63" spans="9:13" x14ac:dyDescent="0.35">
      <c r="I63" s="14" t="s">
        <v>23</v>
      </c>
      <c r="J63" s="14">
        <v>112.06979536595389</v>
      </c>
    </row>
    <row r="64" spans="9:13" x14ac:dyDescent="0.35">
      <c r="I64" s="14" t="s">
        <v>24</v>
      </c>
      <c r="J64" s="14">
        <v>133.29770394168801</v>
      </c>
    </row>
    <row r="65" spans="9:10" x14ac:dyDescent="0.35">
      <c r="I65" s="14" t="s">
        <v>25</v>
      </c>
      <c r="J65" s="14">
        <v>156.86858275678401</v>
      </c>
    </row>
    <row r="66" spans="9:10" x14ac:dyDescent="0.35">
      <c r="I66" s="14" t="s">
        <v>26</v>
      </c>
      <c r="J66" s="14">
        <v>142.59787918815039</v>
      </c>
    </row>
    <row r="67" spans="9:10" x14ac:dyDescent="0.35">
      <c r="I67" s="14" t="s">
        <v>27</v>
      </c>
      <c r="J67" s="14">
        <v>93.085339113873943</v>
      </c>
    </row>
    <row r="68" spans="9:10" x14ac:dyDescent="0.35">
      <c r="I68" s="14" t="s">
        <v>29</v>
      </c>
      <c r="J68" s="14">
        <v>53.323664470210133</v>
      </c>
    </row>
  </sheetData>
  <mergeCells count="6">
    <mergeCell ref="A1:N1"/>
    <mergeCell ref="E4:N4"/>
    <mergeCell ref="E7:N7"/>
    <mergeCell ref="A10:N10"/>
    <mergeCell ref="E3:N3"/>
    <mergeCell ref="E6:N6"/>
  </mergeCells>
  <conditionalFormatting sqref="E12:E23">
    <cfRule type="dataBar" priority="1">
      <dataBar>
        <cfvo type="min"/>
        <cfvo type="max"/>
        <color rgb="FF70AD47"/>
      </dataBar>
    </cfRule>
  </conditionalFormatting>
  <conditionalFormatting sqref="F12:F23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Sinteza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Andreea Moldovan</cp:lastModifiedBy>
  <dcterms:created xsi:type="dcterms:W3CDTF">2026-05-29T08:42:43Z</dcterms:created>
  <dcterms:modified xsi:type="dcterms:W3CDTF">2026-06-01T06:58:20Z</dcterms:modified>
</cp:coreProperties>
</file>