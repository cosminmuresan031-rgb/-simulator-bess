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38620" windowHeight="21100" tabRatio="600" firstSheet="0" activeTab="0" autoFilterDateGrouping="1"/>
  </bookViews>
  <sheets>
    <sheet xmlns:r="http://schemas.openxmlformats.org/officeDocument/2006/relationships" name="Sinteza " sheetId="1" state="visible" r:id="rId1"/>
  </sheets>
  <definedNames/>
  <calcPr calcId="191029" calcMode="auto" fullCalcOnLoad="1" forceFullCalc="1"/>
</workbook>
</file>

<file path=xl/styles.xml><?xml version="1.0" encoding="utf-8"?>
<styleSheet xmlns="http://schemas.openxmlformats.org/spreadsheetml/2006/main">
  <numFmts count="1">
    <numFmt numFmtId="164" formatCode="0.0"/>
  </numFmts>
  <fonts count="13">
    <font>
      <name val="Calibri"/>
      <color theme="1"/>
      <sz val="11"/>
    </font>
    <font>
      <name val="Calibri"/>
      <b val="1"/>
      <color rgb="FF1F4E78"/>
      <sz val="11"/>
    </font>
    <font>
      <name val="Calibri"/>
      <b val="1"/>
      <color theme="1"/>
      <sz val="11"/>
    </font>
    <font>
      <name val="Calibri"/>
      <b val="1"/>
      <color rgb="FF1F4E78"/>
      <sz val="12"/>
    </font>
    <font>
      <name val="Calibri"/>
      <color rgb="FFFFFFFF"/>
      <sz val="11"/>
    </font>
    <font>
      <name val="Calibri"/>
      <charset val="238"/>
      <family val="2"/>
      <color theme="1"/>
      <sz val="11"/>
    </font>
    <font>
      <name val="Calibri"/>
      <charset val="238"/>
      <family val="2"/>
      <b val="1"/>
      <color theme="1"/>
      <sz val="11"/>
    </font>
    <font>
      <name val="Calibri"/>
      <family val="2"/>
      <color theme="1"/>
      <sz val="11"/>
      <scheme val="minor"/>
    </font>
    <font>
      <name val="Calibri"/>
      <charset val="238"/>
      <family val="2"/>
      <b val="1"/>
      <color rgb="FFFF0000"/>
      <sz val="11"/>
    </font>
    <font>
      <name val="Calibri"/>
      <charset val="238"/>
      <family val="2"/>
      <b val="1"/>
      <color rgb="FF1F4E78"/>
      <sz val="11"/>
    </font>
    <font>
      <name val="Calibri"/>
      <family val="2"/>
      <color theme="1"/>
      <sz val="11"/>
    </font>
    <font>
      <name val="Calibri"/>
      <family val="2"/>
      <b val="1"/>
      <color rgb="FF1F4E78"/>
      <sz val="14"/>
    </font>
    <font>
      <name val="Calibri"/>
      <family val="2"/>
      <b val="1"/>
      <color theme="1"/>
      <sz val="11"/>
    </font>
  </fonts>
  <fills count="5">
    <fill>
      <patternFill/>
    </fill>
    <fill>
      <patternFill patternType="gray125"/>
    </fill>
    <fill>
      <patternFill patternType="solid">
        <fgColor rgb="FFD9EAF7"/>
      </patternFill>
    </fill>
    <fill>
      <patternFill patternType="solid">
        <fgColor rgb="FFDDEBF7"/>
      </patternFill>
    </fill>
    <fill>
      <patternFill patternType="solid">
        <fgColor rgb="FFFFFFFF"/>
      </patternFill>
    </fill>
  </fills>
  <borders count="21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</borders>
  <cellStyleXfs count="2">
    <xf numFmtId="0" fontId="0" fillId="0" borderId="20"/>
    <xf numFmtId="0" fontId="7" fillId="0" borderId="20"/>
  </cellStyleXfs>
  <cellXfs count="45">
    <xf numFmtId="0" fontId="0" fillId="0" borderId="0" pivotButton="0" quotePrefix="0" xfId="0"/>
    <xf numFmtId="0" fontId="1" fillId="2" borderId="2" applyAlignment="1" pivotButton="0" quotePrefix="0" xfId="0">
      <alignment horizontal="center" vertical="center" wrapText="1"/>
    </xf>
    <xf numFmtId="0" fontId="1" fillId="2" borderId="3" applyAlignment="1" pivotButton="0" quotePrefix="0" xfId="0">
      <alignment horizontal="center" vertical="center" wrapText="1"/>
    </xf>
    <xf numFmtId="0" fontId="2" fillId="2" borderId="5" applyAlignment="1" pivotButton="0" quotePrefix="0" xfId="0">
      <alignment wrapText="1"/>
    </xf>
    <xf numFmtId="0" fontId="0" fillId="4" borderId="7" applyAlignment="1" pivotButton="0" quotePrefix="0" xfId="0">
      <alignment wrapText="1"/>
    </xf>
    <xf numFmtId="0" fontId="1" fillId="2" borderId="11" applyAlignment="1" pivotButton="0" quotePrefix="0" xfId="0">
      <alignment horizontal="center" vertical="center" wrapText="1"/>
    </xf>
    <xf numFmtId="0" fontId="1" fillId="2" borderId="12" applyAlignment="1" pivotButton="0" quotePrefix="0" xfId="0">
      <alignment horizontal="center" vertical="center" wrapText="1"/>
    </xf>
    <xf numFmtId="0" fontId="1" fillId="2" borderId="13" applyAlignment="1" pivotButton="0" quotePrefix="0" xfId="0">
      <alignment horizontal="center" vertical="center" wrapText="1"/>
    </xf>
    <xf numFmtId="0" fontId="2" fillId="2" borderId="14" pivotButton="0" quotePrefix="0" xfId="0"/>
    <xf numFmtId="0" fontId="0" fillId="0" borderId="16" pivotButton="0" quotePrefix="0" xfId="0"/>
    <xf numFmtId="0" fontId="2" fillId="2" borderId="17" pivotButton="0" quotePrefix="0" xfId="0"/>
    <xf numFmtId="0" fontId="0" fillId="0" borderId="19" pivotButton="0" quotePrefix="0" xfId="0"/>
    <xf numFmtId="4" fontId="0" fillId="3" borderId="15" pivotButton="0" quotePrefix="0" xfId="0"/>
    <xf numFmtId="4" fontId="0" fillId="3" borderId="18" pivotButton="0" quotePrefix="0" xfId="0"/>
    <xf numFmtId="0" fontId="4" fillId="0" borderId="0" pivotButton="0" quotePrefix="0" xfId="0"/>
    <xf numFmtId="2" fontId="2" fillId="2" borderId="17" pivotButton="0" quotePrefix="0" xfId="0"/>
    <xf numFmtId="0" fontId="6" fillId="2" borderId="17" pivotButton="0" quotePrefix="0" xfId="0"/>
    <xf numFmtId="4" fontId="6" fillId="3" borderId="18" pivotButton="0" quotePrefix="0" xfId="0"/>
    <xf numFmtId="0" fontId="6" fillId="0" borderId="19" pivotButton="0" quotePrefix="0" xfId="0"/>
    <xf numFmtId="0" fontId="6" fillId="0" borderId="0" pivotButton="0" quotePrefix="0" xfId="0"/>
    <xf numFmtId="0" fontId="6" fillId="2" borderId="14" pivotButton="0" quotePrefix="0" xfId="0"/>
    <xf numFmtId="4" fontId="6" fillId="3" borderId="15" pivotButton="0" quotePrefix="0" xfId="0"/>
    <xf numFmtId="164" fontId="8" fillId="2" borderId="17" pivotButton="0" quotePrefix="0" xfId="0"/>
    <xf numFmtId="0" fontId="9" fillId="2" borderId="4" applyAlignment="1" pivotButton="0" quotePrefix="0" xfId="0">
      <alignment horizontal="center" vertical="center" wrapText="1"/>
    </xf>
    <xf numFmtId="0" fontId="5" fillId="4" borderId="7" applyAlignment="1" pivotButton="0" quotePrefix="0" xfId="0">
      <alignment wrapText="1"/>
    </xf>
    <xf numFmtId="0" fontId="6" fillId="2" borderId="5" applyAlignment="1" pivotButton="0" quotePrefix="0" xfId="0">
      <alignment wrapText="1"/>
    </xf>
    <xf numFmtId="0" fontId="9" fillId="2" borderId="12" applyAlignment="1" pivotButton="0" quotePrefix="0" xfId="0">
      <alignment horizontal="center" vertical="center" wrapText="1"/>
    </xf>
    <xf numFmtId="0" fontId="10" fillId="3" borderId="6" applyAlignment="1" pivotButton="0" quotePrefix="0" xfId="0">
      <alignment wrapText="1"/>
    </xf>
    <xf numFmtId="4" fontId="10" fillId="3" borderId="6" applyAlignment="1" pivotButton="0" quotePrefix="0" xfId="0">
      <alignment wrapText="1"/>
    </xf>
    <xf numFmtId="0" fontId="12" fillId="2" borderId="17" pivotButton="0" quotePrefix="0" xfId="0"/>
    <xf numFmtId="0" fontId="11" fillId="2" borderId="1" applyAlignment="1" pivotButton="0" quotePrefix="0" xfId="0">
      <alignment horizontal="center" vertical="center"/>
    </xf>
    <xf numFmtId="0" fontId="0" fillId="0" borderId="1" pivotButton="0" quotePrefix="0" xfId="0"/>
    <xf numFmtId="0" fontId="5" fillId="4" borderId="8" applyAlignment="1" pivotButton="0" quotePrefix="0" xfId="0">
      <alignment wrapText="1"/>
    </xf>
    <xf numFmtId="0" fontId="5" fillId="4" borderId="10" applyAlignment="1" pivotButton="0" quotePrefix="0" xfId="0">
      <alignment wrapText="1"/>
    </xf>
    <xf numFmtId="0" fontId="0" fillId="0" borderId="0" pivotButton="0" quotePrefix="0" xfId="0"/>
    <xf numFmtId="0" fontId="3" fillId="2" borderId="1" applyAlignment="1" pivotButton="0" quotePrefix="0" xfId="0">
      <alignment horizontal="center"/>
    </xf>
    <xf numFmtId="0" fontId="5" fillId="4" borderId="9" applyAlignment="1" pivotButton="0" quotePrefix="0" xfId="0">
      <alignment wrapText="1"/>
    </xf>
    <xf numFmtId="2" fontId="10" fillId="3" borderId="6" applyAlignment="1" pivotButton="0" quotePrefix="0" xfId="0">
      <alignment wrapText="1"/>
    </xf>
    <xf numFmtId="0" fontId="2" fillId="2" borderId="20" applyAlignment="1" pivotButton="0" quotePrefix="0" xfId="0">
      <alignment wrapText="1"/>
    </xf>
    <xf numFmtId="0" fontId="1" fillId="2" borderId="20" applyAlignment="1" pivotButton="0" quotePrefix="0" xfId="0">
      <alignment horizontal="center" vertical="center" wrapText="1"/>
    </xf>
    <xf numFmtId="4" fontId="2" fillId="2" borderId="17" pivotButton="0" quotePrefix="0" xfId="0"/>
    <xf numFmtId="0" fontId="11" fillId="2" borderId="20" applyAlignment="1" pivotButton="0" quotePrefix="0" xfId="0">
      <alignment horizontal="center" vertical="center"/>
    </xf>
    <xf numFmtId="0" fontId="3" fillId="2" borderId="20" applyAlignment="1" pivotButton="0" quotePrefix="0" xfId="0">
      <alignment horizontal="center"/>
    </xf>
    <xf numFmtId="0" fontId="5" fillId="4" borderId="20" applyAlignment="1" pivotButton="0" quotePrefix="0" xfId="0">
      <alignment wrapText="1"/>
    </xf>
    <xf numFmtId="4" fontId="0" fillId="0" borderId="0" pivotButton="0" quotePrefix="0" xfId="0"/>
  </cellXfs>
  <cellStyles count="2">
    <cellStyle name="Normal" xfId="0" builtinId="0"/>
    <cellStyle name="Normal 2" xfId="1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Pret contract 2025 vs PZU cu BESS [lei/MWh]</a:t>
            </a:r>
          </a:p>
        </rich>
      </tx>
    </title>
    <plotArea>
      <layout>
        <manualLayout>
          <layoutTarget val="inner"/>
          <xMode val="edge"/>
          <yMode val="edge"/>
          <wMode val="factor"/>
          <hMode val="factor"/>
          <x val="0.05624637829362239"/>
          <y val="0.2264635826771653"/>
          <w val="0.909121587074343"/>
          <h val="0.723407283464567"/>
        </manualLayout>
      </layout>
      <lineChart>
        <grouping val="standard"/>
        <varyColors val="1"/>
        <ser>
          <idx val="0"/>
          <order val="0"/>
          <tx>
            <v>Pret contract 2025</v>
          </tx>
          <spPr>
            <a:ln xmlns:a="http://schemas.openxmlformats.org/drawingml/2006/main" w="32000">
              <a:solidFill>
                <a:srgbClr val="1F4E78"/>
              </a:solidFill>
              <a:prstDash val="solid"/>
            </a:ln>
          </spPr>
          <marker>
            <symbol val="circle"/>
            <size val="5"/>
            <spPr>
              <a:ln xmlns:a="http://schemas.openxmlformats.org/drawingml/2006/main">
                <a:prstDash val="solid"/>
              </a:ln>
            </spPr>
          </marker>
          <cat>
            <strRef>
              <f>'Sinteza '!$I$43:$I$54</f>
              <strCache>
                <ptCount val="12"/>
                <pt idx="0">
                  <v>Ian</v>
                </pt>
                <pt idx="1">
                  <v>Feb</v>
                </pt>
                <pt idx="2">
                  <v>Mar</v>
                </pt>
                <pt idx="3">
                  <v>Apr</v>
                </pt>
                <pt idx="4">
                  <v>Mai</v>
                </pt>
                <pt idx="5">
                  <v>Iun</v>
                </pt>
                <pt idx="6">
                  <v>Iul</v>
                </pt>
                <pt idx="7">
                  <v>Aug</v>
                </pt>
                <pt idx="8">
                  <v>Sep</v>
                </pt>
                <pt idx="9">
                  <v>Oct</v>
                </pt>
                <pt idx="10">
                  <v>Nov</v>
                </pt>
                <pt idx="11">
                  <v>Dec</v>
                </pt>
              </strCache>
            </strRef>
          </cat>
          <val>
            <numRef>
              <f>'Sinteza '!$J$43:$J$54</f>
              <numCache>
                <formatCode>General</formatCode>
                <ptCount val="12"/>
                <pt idx="0">
                  <v>596.92</v>
                </pt>
                <pt idx="1">
                  <v>596.92</v>
                </pt>
                <pt idx="2">
                  <v>596.92</v>
                </pt>
                <pt idx="3">
                  <v>596.92</v>
                </pt>
                <pt idx="4">
                  <v>596.92</v>
                </pt>
                <pt idx="5">
                  <v>596.92</v>
                </pt>
                <pt idx="6">
                  <v>596.92</v>
                </pt>
                <pt idx="7">
                  <v>596.92</v>
                </pt>
                <pt idx="8">
                  <v>596.92</v>
                </pt>
                <pt idx="9">
                  <v>596.92</v>
                </pt>
                <pt idx="10">
                  <v>596.92</v>
                </pt>
                <pt idx="11">
                  <v>596.92</v>
                </pt>
              </numCache>
            </numRef>
          </val>
          <smooth val="0"/>
        </ser>
        <ser>
          <idx val="1"/>
          <order val="1"/>
          <tx>
            <v>PZU cu BESS</v>
          </tx>
          <spPr>
            <a:ln xmlns:a="http://schemas.openxmlformats.org/drawingml/2006/main" w="28000">
              <a:solidFill>
                <a:srgbClr val="4F9B27"/>
              </a:solidFill>
              <a:prstDash val="solid"/>
            </a:ln>
          </spPr>
          <marker>
            <symbol val="circle"/>
            <size val="5"/>
            <spPr>
              <a:ln xmlns:a="http://schemas.openxmlformats.org/drawingml/2006/main">
                <a:prstDash val="solid"/>
              </a:ln>
            </spPr>
          </marker>
          <cat>
            <strRef>
              <f>'Sinteza '!$I$43:$I$54</f>
              <strCache>
                <ptCount val="12"/>
                <pt idx="0">
                  <v>Ian</v>
                </pt>
                <pt idx="1">
                  <v>Feb</v>
                </pt>
                <pt idx="2">
                  <v>Mar</v>
                </pt>
                <pt idx="3">
                  <v>Apr</v>
                </pt>
                <pt idx="4">
                  <v>Mai</v>
                </pt>
                <pt idx="5">
                  <v>Iun</v>
                </pt>
                <pt idx="6">
                  <v>Iul</v>
                </pt>
                <pt idx="7">
                  <v>Aug</v>
                </pt>
                <pt idx="8">
                  <v>Sep</v>
                </pt>
                <pt idx="9">
                  <v>Oct</v>
                </pt>
                <pt idx="10">
                  <v>Nov</v>
                </pt>
                <pt idx="11">
                  <v>Dec</v>
                </pt>
              </strCache>
            </strRef>
          </cat>
          <val>
            <numRef>
              <f>'Sinteza '!$K$43:$K$54</f>
              <numCache>
                <formatCode>General</formatCode>
                <ptCount val="12"/>
                <pt idx="0">
                  <v>706.927914866</v>
                </pt>
                <pt idx="1">
                  <v>787.078228971</v>
                </pt>
                <pt idx="2">
                  <v>518.736617962</v>
                </pt>
                <pt idx="3">
                  <v>429.156826757</v>
                </pt>
                <pt idx="4">
                  <v>424.826260761</v>
                </pt>
                <pt idx="5">
                  <v>430.316825575</v>
                </pt>
                <pt idx="6">
                  <v>527.039544151</v>
                </pt>
                <pt idx="7">
                  <v>384.698158376</v>
                </pt>
                <pt idx="8">
                  <v>485.899788779</v>
                </pt>
                <pt idx="9">
                  <v>630.8942268</v>
                </pt>
                <pt idx="10">
                  <v>627.17795028</v>
                </pt>
                <pt idx="11">
                  <v>609.383362562</v>
                </pt>
              </numCache>
            </numRef>
          </val>
          <smooth val="0"/>
        </ser>
        <dLbls>
          <showLegendKey val="0"/>
          <showVal val="0"/>
          <showCatName val="0"/>
          <showSerName val="0"/>
          <showPercent val="0"/>
          <showBubbleSize val="0"/>
        </dLbls>
        <smooth val="0"/>
        <axId val="48650112"/>
        <axId val="48672768"/>
      </lineChart>
      <catAx>
        <axId val="48650112"/>
        <scaling>
          <orientation val="minMax"/>
        </scaling>
        <delete val="0"/>
        <axPos val="b"/>
        <majorGridlines>
          <spPr>
            <a:ln xmlns:a="http://schemas.openxmlformats.org/drawingml/2006/main" w="9525">
              <a:solidFill>
                <a:srgbClr val="CCCCCC"/>
              </a:solidFill>
              <a:prstDash val="dash"/>
            </a:ln>
          </spPr>
        </majorGridlines>
        <numFmt formatCode="General" sourceLinked="0"/>
        <majorTickMark val="none"/>
        <minorTickMark val="none"/>
        <tickLblPos val="nextTo"/>
        <crossAx val="48672768"/>
        <crosses val="autoZero"/>
        <auto val="1"/>
        <lblAlgn val="ctr"/>
        <lblOffset val="100"/>
        <noMultiLvlLbl val="0"/>
      </catAx>
      <valAx>
        <axId val="48672768"/>
        <scaling>
          <orientation val="minMax"/>
          <max val="686.4579999999999"/>
          <min val="0"/>
        </scaling>
        <delete val="0"/>
        <axPos val="l"/>
        <majorGridlines>
          <spPr>
            <a:ln xmlns:a="http://schemas.openxmlformats.org/drawingml/2006/main" w="9525">
              <a:solidFill>
                <a:srgbClr val="CCCCCC"/>
              </a:solidFill>
              <a:prstDash val="dash"/>
            </a:ln>
          </spPr>
        </majorGridlines>
        <numFmt formatCode="General" sourceLinked="1"/>
        <majorTickMark val="none"/>
        <minorTickMark val="none"/>
        <tickLblPos val="nextTo"/>
        <crossAx val="48650112"/>
        <crosses val="autoZero"/>
        <crossBetween val="between"/>
      </valAx>
    </plotArea>
    <legend>
      <legendPos val="b"/>
      <overlay val="0"/>
    </legend>
    <plotVisOnly val="1"/>
    <dispBlanksAs val="gap"/>
  </chart>
  <spPr>
    <a:ln xmlns:a="http://schemas.openxmlformats.org/drawingml/2006/main" w="9525">
      <a:solidFill>
        <a:srgbClr val="D9D9D9"/>
      </a:solidFill>
      <a:prstDash val="solid"/>
    </a:ln>
  </spPr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twoCellAnchor>
    <from>
      <col>5</col>
      <colOff>38100</colOff>
      <row>10</row>
      <rowOff>31750</rowOff>
    </from>
    <to>
      <col>6</col>
      <colOff>3454400</colOff>
      <row>23</row>
      <rowOff>107950</rowOff>
    </to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twoCellAnchor>
</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68"/>
  <sheetViews>
    <sheetView tabSelected="1" topLeftCell="A5" workbookViewId="0">
      <selection activeCell="H32" sqref="H32"/>
    </sheetView>
  </sheetViews>
  <sheetFormatPr baseColWidth="8" defaultRowHeight="14.5"/>
  <cols>
    <col width="31.36328125" customWidth="1" style="34" min="1" max="1"/>
    <col width="18" customWidth="1" style="34" min="2" max="2"/>
    <col width="34.36328125" customWidth="1" style="34" min="3" max="3"/>
    <col width="26.54296875" customWidth="1" style="34" min="4" max="4"/>
    <col width="35.7265625" customWidth="1" style="34" min="5" max="5"/>
    <col width="25" customWidth="1" style="34" min="6" max="6"/>
    <col width="49.90625" customWidth="1" style="34" min="7" max="7"/>
    <col width="33.453125" customWidth="1" style="34" min="8" max="8"/>
    <col width="14" customWidth="1" style="34" min="9" max="14"/>
  </cols>
  <sheetData>
    <row r="1" ht="28" customHeight="1" s="34">
      <c r="A1" s="41" t="inlineStr">
        <is>
          <t>Sinteza financiara  - Client Cosmin Srl | capacitate baterie 1.318 MW AC - stocare 2.635 MWh</t>
        </is>
      </c>
    </row>
    <row r="3" ht="24" customHeight="1" s="34">
      <c r="A3" s="1" t="inlineStr">
        <is>
          <t>Indicator financiar</t>
        </is>
      </c>
      <c r="B3" s="2" t="inlineStr">
        <is>
          <t>Rezultat</t>
        </is>
      </c>
      <c r="C3" s="23" t="inlineStr">
        <is>
          <t>Interpretare</t>
        </is>
      </c>
      <c r="E3" s="42" t="n"/>
    </row>
    <row r="4" ht="42" customHeight="1" s="34">
      <c r="A4" s="3" t="inlineStr">
        <is>
          <t>Scenariu BESS analizat</t>
        </is>
      </c>
      <c r="B4" s="27" t="inlineStr">
        <is>
          <t>2h</t>
        </is>
      </c>
      <c r="C4" s="4" t="inlineStr">
        <is>
          <t>Capacitatea bateriei folosită în simulare.</t>
        </is>
      </c>
      <c r="E4" s="43" t="inlineStr">
        <is>
          <t>1. Simularea indica o reducere medie lunara de 86.52 lei/MWh prin utilizarea bateriei.</t>
        </is>
      </c>
    </row>
    <row r="5" ht="42" customHeight="1" s="34">
      <c r="A5" s="3" t="inlineStr">
        <is>
          <t>Consum total analizat [MWh]</t>
        </is>
      </c>
      <c r="B5" s="37" t="n">
        <v>4300.361</v>
      </c>
      <c r="C5" s="4" t="inlineStr">
        <is>
          <t>Volumul anual pe care se aplică optimizarea.</t>
        </is>
      </c>
    </row>
    <row r="6" ht="42" customHeight="1" s="34">
      <c r="A6" s="3" t="inlineStr">
        <is>
          <t>Consum zi / noapte [%]</t>
        </is>
      </c>
      <c r="B6" s="27" t="inlineStr">
        <is>
          <t>67.2% / 32.8%</t>
        </is>
      </c>
      <c r="C6" s="4" t="inlineStr">
        <is>
          <t>Structura consumului explică potențialul de arbitraj orar.</t>
        </is>
      </c>
      <c r="E6" s="43" t="inlineStr">
        <is>
          <t>2. Scenariul cu BESS este comparat cu pretul contractual de 596.92 lei/MWh.</t>
        </is>
      </c>
    </row>
    <row r="7" ht="42" customHeight="1" s="34">
      <c r="A7" s="25" t="inlineStr">
        <is>
          <t>Preț mediu ponderat cu BESS</t>
        </is>
      </c>
      <c r="B7" s="37" t="n">
        <v>458.263023499</v>
      </c>
      <c r="C7" s="24" t="inlineStr">
        <is>
          <t>lei/MWh – reperul de cost cu stocare</t>
        </is>
      </c>
      <c r="E7" s="43" t="inlineStr">
        <is>
          <t>3. Impactul anual indicativ este de aproximativ 587 427 lei/an.</t>
        </is>
      </c>
    </row>
    <row r="8" ht="38" customHeight="1" s="34">
      <c r="A8" s="3" t="inlineStr">
        <is>
          <t>Preț contractual furnizare 2025</t>
        </is>
      </c>
      <c r="B8" s="28" t="n">
        <v>596.92</v>
      </c>
      <c r="C8" s="24" t="inlineStr">
        <is>
          <t xml:space="preserve">lei/MWh – nivelul de comparație comercială </t>
        </is>
      </c>
    </row>
    <row r="9">
      <c r="A9" s="38" t="inlineStr">
        <is>
          <t>Componenta furnizare PZU</t>
        </is>
      </c>
      <c r="B9" s="44" t="n">
        <v>0</v>
      </c>
    </row>
    <row r="10" ht="24" customHeight="1" s="34">
      <c r="A10" s="42" t="inlineStr">
        <is>
          <t>Tabel – comparație lunară cost energie [lei/MWh]</t>
        </is>
      </c>
    </row>
    <row r="11" ht="49.5" customHeight="1" s="34">
      <c r="A11" s="5" t="inlineStr">
        <is>
          <t>Luna</t>
        </is>
      </c>
      <c r="B11" s="6" t="inlineStr">
        <is>
          <t>Pret contract 2025</t>
        </is>
      </c>
      <c r="C11" s="26" t="inlineStr">
        <is>
          <t>PZU cu BESS</t>
        </is>
      </c>
      <c r="D11" s="26" t="inlineStr">
        <is>
          <t>Pret contract 2025 vs PZU cu BESS</t>
        </is>
      </c>
      <c r="E11" s="7" t="inlineStr">
        <is>
          <t>Observatie</t>
        </is>
      </c>
    </row>
    <row r="12" ht="26" customHeight="1" s="34">
      <c r="A12" s="8" t="inlineStr">
        <is>
          <t>Ian</t>
        </is>
      </c>
      <c r="B12" s="12">
        <f>$B$8</f>
        <v/>
      </c>
      <c r="C12" s="12" t="n">
        <v>0</v>
      </c>
      <c r="D12" s="12">
        <f>B12-C12</f>
        <v/>
      </c>
      <c r="E12" s="9" t="inlineStr"/>
    </row>
    <row r="13" ht="26" customHeight="1" s="34">
      <c r="A13" s="8" t="inlineStr">
        <is>
          <t>Feb</t>
        </is>
      </c>
      <c r="B13" s="12">
        <f>$B$8</f>
        <v/>
      </c>
      <c r="C13" s="12" t="n">
        <v>0</v>
      </c>
      <c r="D13" s="12">
        <f>B13-C13</f>
        <v/>
      </c>
      <c r="E13" s="9" t="inlineStr"/>
    </row>
    <row r="14" ht="26" customHeight="1" s="34">
      <c r="A14" s="8" t="inlineStr">
        <is>
          <t>Mar</t>
        </is>
      </c>
      <c r="B14" s="12">
        <f>$B$8</f>
        <v/>
      </c>
      <c r="C14" s="12" t="n">
        <v>0</v>
      </c>
      <c r="D14" s="12">
        <f>B14-C14</f>
        <v/>
      </c>
      <c r="E14" s="9" t="inlineStr"/>
    </row>
    <row r="15" ht="26" customHeight="1" s="34">
      <c r="A15" s="8" t="inlineStr">
        <is>
          <t>Apr</t>
        </is>
      </c>
      <c r="B15" s="12">
        <f>$B$8</f>
        <v/>
      </c>
      <c r="C15" s="12" t="n">
        <v>0</v>
      </c>
      <c r="D15" s="12">
        <f>B15-C15</f>
        <v/>
      </c>
      <c r="E15" s="9" t="inlineStr"/>
    </row>
    <row r="16" ht="26" customHeight="1" s="34">
      <c r="A16" s="8" t="inlineStr">
        <is>
          <t>Mai</t>
        </is>
      </c>
      <c r="B16" s="12">
        <f>$B$8</f>
        <v/>
      </c>
      <c r="C16" s="12" t="n">
        <v>0</v>
      </c>
      <c r="D16" s="12">
        <f>B16-C16</f>
        <v/>
      </c>
      <c r="E16" s="9" t="inlineStr"/>
    </row>
    <row r="17" ht="26" customHeight="1" s="34">
      <c r="A17" s="8" t="inlineStr">
        <is>
          <t>Iun</t>
        </is>
      </c>
      <c r="B17" s="12">
        <f>$B$8</f>
        <v/>
      </c>
      <c r="C17" s="12" t="n">
        <v>0</v>
      </c>
      <c r="D17" s="12">
        <f>B17-C17</f>
        <v/>
      </c>
      <c r="E17" s="9" t="inlineStr"/>
    </row>
    <row r="18" ht="26" customHeight="1" s="34">
      <c r="A18" s="8" t="inlineStr">
        <is>
          <t>Iul</t>
        </is>
      </c>
      <c r="B18" s="12">
        <f>$B$8</f>
        <v/>
      </c>
      <c r="C18" s="12" t="n">
        <v>0</v>
      </c>
      <c r="D18" s="12">
        <f>B18-C18</f>
        <v/>
      </c>
      <c r="E18" s="9" t="inlineStr"/>
    </row>
    <row r="19" ht="26" customHeight="1" s="34">
      <c r="A19" s="8" t="inlineStr">
        <is>
          <t>Aug</t>
        </is>
      </c>
      <c r="B19" s="12">
        <f>$B$8</f>
        <v/>
      </c>
      <c r="C19" s="12" t="n">
        <v>0</v>
      </c>
      <c r="D19" s="12">
        <f>B19-C19</f>
        <v/>
      </c>
      <c r="E19" s="9" t="inlineStr"/>
    </row>
    <row r="20" ht="26" customHeight="1" s="34">
      <c r="A20" s="8" t="inlineStr">
        <is>
          <t>Sep</t>
        </is>
      </c>
      <c r="B20" s="12">
        <f>$B$8</f>
        <v/>
      </c>
      <c r="C20" s="12" t="n">
        <v>0</v>
      </c>
      <c r="D20" s="12">
        <f>B20-C20</f>
        <v/>
      </c>
      <c r="E20" s="9" t="inlineStr"/>
    </row>
    <row r="21" ht="26" customHeight="1" s="34">
      <c r="A21" s="8" t="inlineStr">
        <is>
          <t>Oct</t>
        </is>
      </c>
      <c r="B21" s="12">
        <f>$B$8</f>
        <v/>
      </c>
      <c r="C21" s="12" t="n">
        <v>0</v>
      </c>
      <c r="D21" s="12">
        <f>B21-C21</f>
        <v/>
      </c>
      <c r="E21" s="9" t="inlineStr"/>
    </row>
    <row r="22" ht="26" customHeight="1" s="34">
      <c r="A22" s="8" t="inlineStr">
        <is>
          <t>Nov</t>
        </is>
      </c>
      <c r="B22" s="12">
        <f>$B$8</f>
        <v/>
      </c>
      <c r="C22" s="12" t="n">
        <v>0</v>
      </c>
      <c r="D22" s="12">
        <f>B22-C22</f>
        <v/>
      </c>
      <c r="E22" s="9" t="inlineStr"/>
    </row>
    <row r="23" ht="26" customHeight="1" s="34">
      <c r="A23" s="10" t="inlineStr">
        <is>
          <t>Dec</t>
        </is>
      </c>
      <c r="B23" s="13">
        <f>$B$8</f>
        <v/>
      </c>
      <c r="C23" s="13" t="n">
        <v>0</v>
      </c>
      <c r="D23" s="13">
        <f>B23-C23</f>
        <v/>
      </c>
      <c r="E23" s="11" t="inlineStr"/>
    </row>
    <row r="25" ht="24" customHeight="1" s="34">
      <c r="A25" s="5" t="inlineStr">
        <is>
          <t>Sinteza anuala</t>
        </is>
      </c>
      <c r="B25" s="6" t="inlineStr">
        <is>
          <t>Pret Contract 2025</t>
        </is>
      </c>
      <c r="C25" s="6" t="inlineStr">
        <is>
          <t>Pret PZU Cu BESS 2025</t>
        </is>
      </c>
      <c r="D25" s="6" t="inlineStr">
        <is>
          <t>Reducere Pret Contract 2025 VS PZU CU BESS</t>
        </is>
      </c>
      <c r="E25" s="7" t="inlineStr">
        <is>
          <t>Componenta furnizare PZU (Comision furnizor)</t>
        </is>
      </c>
      <c r="F25" s="39" t="inlineStr">
        <is>
          <t>Rezultate</t>
        </is>
      </c>
      <c r="G25" t="inlineStr">
        <is>
          <t>Comentariu</t>
        </is>
      </c>
    </row>
    <row r="26" ht="36" customFormat="1" customHeight="1" s="19">
      <c r="A26" s="20" t="inlineStr">
        <is>
          <t>Medie lunară rezultate</t>
        </is>
      </c>
      <c r="B26" s="21">
        <f>B8</f>
        <v/>
      </c>
      <c r="C26" s="21" t="n">
        <v>0</v>
      </c>
      <c r="D26" s="21">
        <f>B26-C26</f>
        <v/>
      </c>
      <c r="E26" s="17">
        <f>B9</f>
        <v/>
      </c>
      <c r="F26" s="40">
        <f>D26-E26</f>
        <v/>
      </c>
      <c r="G26" t="inlineStr">
        <is>
          <t>Medii simple ale celor 12 luni din simulare</t>
        </is>
      </c>
    </row>
    <row r="27" ht="36" customFormat="1" customHeight="1" s="19">
      <c r="A27" s="16" t="inlineStr">
        <is>
          <t>Impact indicativ [lei/an]</t>
        </is>
      </c>
      <c r="B27" s="17" t="n"/>
      <c r="C27" s="17" t="n"/>
      <c r="D27" s="17" t="n"/>
      <c r="E27" s="17" t="inlineStr"/>
      <c r="F27" s="17">
        <f>F26*B5</f>
        <v/>
      </c>
      <c r="G27" s="18" t="inlineStr">
        <is>
          <t>Consum total x rezultat net</t>
        </is>
      </c>
    </row>
    <row r="28">
      <c r="A28" s="10" t="n"/>
      <c r="B28" s="10" t="n"/>
      <c r="C28" s="10" t="n"/>
      <c r="D28" s="10" t="n"/>
      <c r="E28" s="10" t="n"/>
      <c r="F28" s="10" t="n"/>
    </row>
    <row r="29">
      <c r="A29" s="10" t="inlineStr">
        <is>
          <t>Impact indicativ [euro/an]</t>
        </is>
      </c>
      <c r="B29" s="10" t="n"/>
      <c r="C29" s="10" t="n"/>
      <c r="D29" s="10" t="n"/>
      <c r="E29" s="15" t="inlineStr"/>
      <c r="F29" s="15">
        <f>F27/5.1</f>
        <v/>
      </c>
    </row>
    <row r="30">
      <c r="A30" s="10" t="n"/>
      <c r="B30" s="10" t="n"/>
      <c r="C30" s="10" t="n"/>
      <c r="D30" s="10" t="n"/>
      <c r="E30" s="10" t="n"/>
      <c r="F30" s="10" t="n"/>
    </row>
    <row r="31">
      <c r="A31" s="10" t="inlineStr">
        <is>
          <t>Valoare investitie [euro]</t>
        </is>
      </c>
      <c r="B31" s="10" t="n"/>
      <c r="C31" s="10" t="n"/>
      <c r="D31" s="10" t="n"/>
      <c r="E31" s="29" t="inlineStr"/>
      <c r="F31" s="29" t="n">
        <v>0</v>
      </c>
    </row>
    <row r="32">
      <c r="A32" s="10" t="n"/>
      <c r="B32" s="10" t="n"/>
      <c r="C32" s="10" t="n"/>
      <c r="D32" s="10" t="n"/>
      <c r="E32" s="10" t="n"/>
      <c r="F32" s="10" t="n"/>
    </row>
    <row r="33">
      <c r="A33" s="10" t="inlineStr">
        <is>
          <t>Termen de recuperare investitie ani</t>
        </is>
      </c>
      <c r="B33" s="10" t="n"/>
      <c r="C33" s="10" t="n"/>
      <c r="D33" s="10" t="n"/>
      <c r="E33" s="22" t="inlineStr"/>
      <c r="F33" s="22">
        <f>IF(F29&gt;0,F31/F29,"")</f>
        <v/>
      </c>
    </row>
    <row r="42">
      <c r="I42" s="14" t="inlineStr">
        <is>
          <t>Luna</t>
        </is>
      </c>
      <c r="J42" s="14" t="inlineStr">
        <is>
          <t>Pret contract 2025</t>
        </is>
      </c>
      <c r="K42" s="14" t="inlineStr">
        <is>
          <t>PZU cu BESS</t>
        </is>
      </c>
      <c r="L42" s="14" t="inlineStr"/>
      <c r="M42" s="14" t="inlineStr"/>
    </row>
    <row r="43">
      <c r="I43" s="14">
        <f>A12</f>
        <v/>
      </c>
      <c r="J43" s="14">
        <f>B12</f>
        <v/>
      </c>
      <c r="K43" s="14">
        <f>C12</f>
        <v/>
      </c>
      <c r="L43" s="14" t="inlineStr"/>
      <c r="M43" s="14" t="inlineStr"/>
    </row>
    <row r="44">
      <c r="I44" s="14">
        <f>A13</f>
        <v/>
      </c>
      <c r="J44" s="14">
        <f>B13</f>
        <v/>
      </c>
      <c r="K44" s="14">
        <f>C13</f>
        <v/>
      </c>
      <c r="L44" s="14" t="inlineStr"/>
      <c r="M44" s="14" t="inlineStr"/>
    </row>
    <row r="45">
      <c r="I45" s="14">
        <f>A14</f>
        <v/>
      </c>
      <c r="J45" s="14">
        <f>B14</f>
        <v/>
      </c>
      <c r="K45" s="14">
        <f>C14</f>
        <v/>
      </c>
      <c r="L45" s="14" t="inlineStr"/>
      <c r="M45" s="14" t="inlineStr"/>
    </row>
    <row r="46">
      <c r="I46" s="14">
        <f>A15</f>
        <v/>
      </c>
      <c r="J46" s="14">
        <f>B15</f>
        <v/>
      </c>
      <c r="K46" s="14">
        <f>C15</f>
        <v/>
      </c>
      <c r="L46" s="14" t="inlineStr"/>
      <c r="M46" s="14" t="inlineStr"/>
    </row>
    <row r="47">
      <c r="I47" s="14">
        <f>A16</f>
        <v/>
      </c>
      <c r="J47" s="14">
        <f>B16</f>
        <v/>
      </c>
      <c r="K47" s="14">
        <f>C16</f>
        <v/>
      </c>
      <c r="L47" s="14" t="inlineStr"/>
      <c r="M47" s="14" t="inlineStr"/>
    </row>
    <row r="48">
      <c r="I48" s="14">
        <f>A17</f>
        <v/>
      </c>
      <c r="J48" s="14">
        <f>B17</f>
        <v/>
      </c>
      <c r="K48" s="14">
        <f>C17</f>
        <v/>
      </c>
      <c r="L48" s="14" t="inlineStr"/>
      <c r="M48" s="14" t="inlineStr"/>
    </row>
    <row r="49">
      <c r="I49" s="14">
        <f>A18</f>
        <v/>
      </c>
      <c r="J49" s="14">
        <f>B18</f>
        <v/>
      </c>
      <c r="K49" s="14">
        <f>C18</f>
        <v/>
      </c>
      <c r="L49" s="14" t="inlineStr"/>
      <c r="M49" s="14" t="inlineStr"/>
    </row>
    <row r="50">
      <c r="I50" s="14">
        <f>A19</f>
        <v/>
      </c>
      <c r="J50" s="14">
        <f>B19</f>
        <v/>
      </c>
      <c r="K50" s="14">
        <f>C19</f>
        <v/>
      </c>
      <c r="L50" s="14" t="inlineStr"/>
      <c r="M50" s="14" t="inlineStr"/>
    </row>
    <row r="51">
      <c r="I51" s="14">
        <f>A20</f>
        <v/>
      </c>
      <c r="J51" s="14">
        <f>B20</f>
        <v/>
      </c>
      <c r="K51" s="14">
        <f>C20</f>
        <v/>
      </c>
      <c r="L51" s="14" t="inlineStr"/>
      <c r="M51" s="14" t="inlineStr"/>
    </row>
    <row r="52">
      <c r="I52" s="14">
        <f>A21</f>
        <v/>
      </c>
      <c r="J52" s="14">
        <f>B21</f>
        <v/>
      </c>
      <c r="K52" s="14">
        <f>C21</f>
        <v/>
      </c>
      <c r="L52" s="14" t="inlineStr"/>
      <c r="M52" s="14" t="inlineStr"/>
    </row>
    <row r="53">
      <c r="I53" s="14">
        <f>A22</f>
        <v/>
      </c>
      <c r="J53" s="14">
        <f>B22</f>
        <v/>
      </c>
      <c r="K53" s="14">
        <f>C22</f>
        <v/>
      </c>
      <c r="L53" s="14" t="inlineStr"/>
      <c r="M53" s="14" t="inlineStr"/>
    </row>
    <row r="54">
      <c r="I54" s="14">
        <f>A23</f>
        <v/>
      </c>
      <c r="J54" s="14">
        <f>B23</f>
        <v/>
      </c>
      <c r="K54" s="14">
        <f>C23</f>
        <v/>
      </c>
      <c r="L54" s="14" t="inlineStr"/>
      <c r="M54" s="14" t="inlineStr"/>
    </row>
    <row r="56">
      <c r="I56" s="14" t="inlineStr">
        <is>
          <t>Luna</t>
        </is>
      </c>
      <c r="J56" s="14" t="inlineStr">
        <is>
          <t>Reducere BESS vs fără BESS</t>
        </is>
      </c>
    </row>
    <row r="57">
      <c r="I57" s="14" t="inlineStr"/>
      <c r="J57" s="14" t="inlineStr"/>
    </row>
    <row r="58">
      <c r="I58" s="14" t="inlineStr"/>
      <c r="J58" s="14" t="inlineStr"/>
    </row>
    <row r="59">
      <c r="I59" s="14" t="inlineStr"/>
      <c r="J59" s="14" t="inlineStr"/>
    </row>
    <row r="60">
      <c r="I60" s="14" t="inlineStr"/>
      <c r="J60" s="14" t="inlineStr"/>
    </row>
    <row r="61">
      <c r="I61" s="14" t="inlineStr"/>
      <c r="J61" s="14" t="inlineStr"/>
    </row>
    <row r="62">
      <c r="I62" s="14" t="inlineStr"/>
      <c r="J62" s="14" t="inlineStr"/>
    </row>
    <row r="63">
      <c r="I63" s="14" t="inlineStr"/>
      <c r="J63" s="14" t="inlineStr"/>
    </row>
    <row r="64">
      <c r="I64" s="14" t="inlineStr"/>
      <c r="J64" s="14" t="inlineStr"/>
    </row>
    <row r="65">
      <c r="I65" s="14" t="inlineStr"/>
      <c r="J65" s="14" t="inlineStr"/>
    </row>
    <row r="66">
      <c r="I66" s="14" t="inlineStr"/>
      <c r="J66" s="14" t="inlineStr"/>
    </row>
    <row r="67">
      <c r="I67" s="14" t="inlineStr"/>
      <c r="J67" s="14" t="inlineStr"/>
    </row>
    <row r="68">
      <c r="I68" s="14" t="inlineStr"/>
      <c r="J68" s="14" t="inlineStr"/>
    </row>
  </sheetData>
  <mergeCells count="6">
    <mergeCell ref="E6:N6"/>
    <mergeCell ref="E4:N4"/>
    <mergeCell ref="E3:N3"/>
    <mergeCell ref="E7:N7"/>
    <mergeCell ref="A10:N10"/>
    <mergeCell ref="A1:N1"/>
  </mergeCells>
  <conditionalFormatting sqref="D12:D23">
    <cfRule type="dataBar" priority="1">
      <dataBar>
        <cfvo type="min"/>
        <cfvo type="max"/>
        <color rgb="FF70AD47"/>
      </dataBar>
    </cfRule>
  </conditionalFormatting>
  <pageMargins left="0.7" right="0.7" top="0.75" bottom="0.75" header="0.3" footer="0.3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2026-05-29T08:42:43Z</dcterms:created>
  <dcterms:modified xmlns:dcterms="http://purl.org/dc/terms/" xmlns:xsi="http://www.w3.org/2001/XMLSchema-instance" xsi:type="dcterms:W3CDTF">2026-06-13T07:12:48Z</dcterms:modified>
  <cp:lastModifiedBy>Andreea Moldovan</cp:lastModifiedBy>
</cp:coreProperties>
</file>